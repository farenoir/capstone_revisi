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Barang ATK" sheetId="1" state="visible" r:id="rId3"/>
    <sheet name="Rekap Kategori" sheetId="2" state="visible" r:id="rId4"/>
    <sheet name="Keterangan" sheetId="3" state="visible" r:id="rId5"/>
  </sheets>
  <definedNames>
    <definedName function="false" hidden="true" localSheetId="0" name="_xlnm._FilterDatabase" vbProcedure="false">'Data Barang ATK'!$A$4:$J$54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<sst xmlns="http://schemas.openxmlformats.org/spreadsheetml/2006/main" count="256" uniqueCount="159">
  <si>
    <t xml:space="preserve">DATA BARANG GUDANG ATK</t>
  </si>
  <si>
    <t xml:space="preserve">Kolom berlatar putih dengan angka biru diisi manual. Kolom Nilai Stok dan Status terisi otomatis oleh rumus.</t>
  </si>
  <si>
    <t xml:space="preserve">No</t>
  </si>
  <si>
    <t xml:space="preserve">Kode Barang</t>
  </si>
  <si>
    <t xml:space="preserve">Nama Barang</t>
  </si>
  <si>
    <t xml:space="preserve">Kategori</t>
  </si>
  <si>
    <t xml:space="preserve">Satuan</t>
  </si>
  <si>
    <t xml:space="preserve">Stok Saat Ini</t>
  </si>
  <si>
    <t xml:space="preserve">Stok Minimum</t>
  </si>
  <si>
    <t xml:space="preserve">Harga Satuan (Rp)</t>
  </si>
  <si>
    <t xml:space="preserve">Nilai Stok (Rp)</t>
  </si>
  <si>
    <t xml:space="preserve">Status</t>
  </si>
  <si>
    <t xml:space="preserve">ATK-001</t>
  </si>
  <si>
    <t xml:space="preserve">Pulpen Standard AE7 Biru</t>
  </si>
  <si>
    <t xml:space="preserve">Alat Tulis</t>
  </si>
  <si>
    <t xml:space="preserve">pcs</t>
  </si>
  <si>
    <t xml:space="preserve">ATK-002</t>
  </si>
  <si>
    <t xml:space="preserve">Pulpen Standard AE7 Hitam</t>
  </si>
  <si>
    <t xml:space="preserve">ATK-003</t>
  </si>
  <si>
    <t xml:space="preserve">Pulpen Gel 0.5 mm</t>
  </si>
  <si>
    <t xml:space="preserve">ATK-004</t>
  </si>
  <si>
    <t xml:space="preserve">Pensil 2B</t>
  </si>
  <si>
    <t xml:space="preserve">ATK-005</t>
  </si>
  <si>
    <t xml:space="preserve">Pensil Mekanik 0.5 mm</t>
  </si>
  <si>
    <t xml:space="preserve">ATK-006</t>
  </si>
  <si>
    <t xml:space="preserve">Isi Pensil Mekanik 0.5 mm</t>
  </si>
  <si>
    <t xml:space="preserve">pak</t>
  </si>
  <si>
    <t xml:space="preserve">ATK-007</t>
  </si>
  <si>
    <t xml:space="preserve">Penghapus Karet</t>
  </si>
  <si>
    <t xml:space="preserve">ATK-008</t>
  </si>
  <si>
    <t xml:space="preserve">Correction Pen (Tip-Ex)</t>
  </si>
  <si>
    <t xml:space="preserve">ATK-009</t>
  </si>
  <si>
    <t xml:space="preserve">Spidol Whiteboard Hitam</t>
  </si>
  <si>
    <t xml:space="preserve">ATK-010</t>
  </si>
  <si>
    <t xml:space="preserve">Spidol Permanen Hitam</t>
  </si>
  <si>
    <t xml:space="preserve">ATK-011</t>
  </si>
  <si>
    <t xml:space="preserve">Stabilo Highlighter</t>
  </si>
  <si>
    <t xml:space="preserve">ATK-012</t>
  </si>
  <si>
    <t xml:space="preserve">Penggaris Plastik 30 cm</t>
  </si>
  <si>
    <t xml:space="preserve">ATK-013</t>
  </si>
  <si>
    <t xml:space="preserve">Kertas HVS A4 70 gsm</t>
  </si>
  <si>
    <t xml:space="preserve">Kertas &amp; Buku</t>
  </si>
  <si>
    <t xml:space="preserve">rim</t>
  </si>
  <si>
    <t xml:space="preserve">ATK-014</t>
  </si>
  <si>
    <t xml:space="preserve">Kertas HVS A4 80 gsm</t>
  </si>
  <si>
    <t xml:space="preserve">ATK-015</t>
  </si>
  <si>
    <t xml:space="preserve">Kertas HVS F4 70 gsm</t>
  </si>
  <si>
    <t xml:space="preserve">ATK-016</t>
  </si>
  <si>
    <t xml:space="preserve">Kertas HVS A3 80 gsm</t>
  </si>
  <si>
    <t xml:space="preserve">ATK-017</t>
  </si>
  <si>
    <t xml:space="preserve">Kertas Continuous Form 2 Ply</t>
  </si>
  <si>
    <t xml:space="preserve">box</t>
  </si>
  <si>
    <t xml:space="preserve">ATK-018</t>
  </si>
  <si>
    <t xml:space="preserve">Amplop Coklat F4</t>
  </si>
  <si>
    <t xml:space="preserve">ATK-019</t>
  </si>
  <si>
    <t xml:space="preserve">Amplop Putih Kecil</t>
  </si>
  <si>
    <t xml:space="preserve">ATK-020</t>
  </si>
  <si>
    <t xml:space="preserve">Buku Folio 100 Lembar</t>
  </si>
  <si>
    <t xml:space="preserve">ATK-021</t>
  </si>
  <si>
    <t xml:space="preserve">Notebook A5</t>
  </si>
  <si>
    <t xml:space="preserve">ATK-022</t>
  </si>
  <si>
    <t xml:space="preserve">Sticky Notes 3x3 inci</t>
  </si>
  <si>
    <t xml:space="preserve">ATK-023</t>
  </si>
  <si>
    <t xml:space="preserve">Stapler No.10</t>
  </si>
  <si>
    <t xml:space="preserve">Perlengkapan Kantor</t>
  </si>
  <si>
    <t xml:space="preserve">ATK-024</t>
  </si>
  <si>
    <t xml:space="preserve">Stapler No.3 (Besar)</t>
  </si>
  <si>
    <t xml:space="preserve">ATK-025</t>
  </si>
  <si>
    <t xml:space="preserve">Isi Staples No.10</t>
  </si>
  <si>
    <t xml:space="preserve">ATK-026</t>
  </si>
  <si>
    <t xml:space="preserve">Isi Staples No.3</t>
  </si>
  <si>
    <t xml:space="preserve">ATK-027</t>
  </si>
  <si>
    <t xml:space="preserve">Pelubang Kertas (Perforator)</t>
  </si>
  <si>
    <t xml:space="preserve">ATK-028</t>
  </si>
  <si>
    <t xml:space="preserve">Gunting Kertas Sedang</t>
  </si>
  <si>
    <t xml:space="preserve">ATK-029</t>
  </si>
  <si>
    <t xml:space="preserve">Cutter Besar</t>
  </si>
  <si>
    <t xml:space="preserve">ATK-030</t>
  </si>
  <si>
    <t xml:space="preserve">Isi Cutter Besar</t>
  </si>
  <si>
    <t xml:space="preserve">ATK-031</t>
  </si>
  <si>
    <t xml:space="preserve">Lakban Bening 2 inci</t>
  </si>
  <si>
    <t xml:space="preserve">roll</t>
  </si>
  <si>
    <t xml:space="preserve">ATK-032</t>
  </si>
  <si>
    <t xml:space="preserve">Double Tape 1 inci</t>
  </si>
  <si>
    <t xml:space="preserve">ATK-033</t>
  </si>
  <si>
    <t xml:space="preserve">Lem Stick 8 gr</t>
  </si>
  <si>
    <t xml:space="preserve">ATK-034</t>
  </si>
  <si>
    <t xml:space="preserve">Paper Clip No.3</t>
  </si>
  <si>
    <t xml:space="preserve">ATK-035</t>
  </si>
  <si>
    <t xml:space="preserve">Binder Clip 107</t>
  </si>
  <si>
    <t xml:space="preserve">Arsip &amp; Penyimpanan</t>
  </si>
  <si>
    <t xml:space="preserve">ATK-036</t>
  </si>
  <si>
    <t xml:space="preserve">Push Pin Warna</t>
  </si>
  <si>
    <t xml:space="preserve">ATK-037</t>
  </si>
  <si>
    <t xml:space="preserve">Map Plastik Kancing</t>
  </si>
  <si>
    <t xml:space="preserve">ATK-038</t>
  </si>
  <si>
    <t xml:space="preserve">Snelhecter Plastik</t>
  </si>
  <si>
    <t xml:space="preserve">ATK-039</t>
  </si>
  <si>
    <t xml:space="preserve">Ordner Folio</t>
  </si>
  <si>
    <t xml:space="preserve">ATK-040</t>
  </si>
  <si>
    <t xml:space="preserve">Clear Holder 20 Pocket</t>
  </si>
  <si>
    <t xml:space="preserve">ATK-041</t>
  </si>
  <si>
    <t xml:space="preserve">Box File Karton</t>
  </si>
  <si>
    <t xml:space="preserve">ATK-042</t>
  </si>
  <si>
    <t xml:space="preserve">Plastik Laminating A4</t>
  </si>
  <si>
    <t xml:space="preserve">ATK-043</t>
  </si>
  <si>
    <t xml:space="preserve">Label Sticker A4</t>
  </si>
  <si>
    <t xml:space="preserve">ATK-044</t>
  </si>
  <si>
    <t xml:space="preserve">Tinta Printer Hitam</t>
  </si>
  <si>
    <t xml:space="preserve">Tinta &amp; Printer</t>
  </si>
  <si>
    <t xml:space="preserve">botol</t>
  </si>
  <si>
    <t xml:space="preserve">ATK-045</t>
  </si>
  <si>
    <t xml:space="preserve">Tinta Printer Warna (Set)</t>
  </si>
  <si>
    <t xml:space="preserve">set</t>
  </si>
  <si>
    <t xml:space="preserve">ATK-046</t>
  </si>
  <si>
    <t xml:space="preserve">Toner Cartridge Laser</t>
  </si>
  <si>
    <t xml:space="preserve">ATK-047</t>
  </si>
  <si>
    <t xml:space="preserve">Pita Printer Dot Matrix</t>
  </si>
  <si>
    <t xml:space="preserve">ATK-048</t>
  </si>
  <si>
    <t xml:space="preserve">Kertas Struk Thermal 80 mm</t>
  </si>
  <si>
    <t xml:space="preserve">ATK-049</t>
  </si>
  <si>
    <t xml:space="preserve">Baterai AA Alkaline</t>
  </si>
  <si>
    <t xml:space="preserve">Lain-lain</t>
  </si>
  <si>
    <t xml:space="preserve">ATK-050</t>
  </si>
  <si>
    <t xml:space="preserve">Kalkulator 12 Digit</t>
  </si>
  <si>
    <t xml:space="preserve">TOTAL</t>
  </si>
  <si>
    <t xml:space="preserve">REKAP PER KATEGORI</t>
  </si>
  <si>
    <t xml:space="preserve">Seluruh angka di lembar ini dihitung otomatis dari lembar 'Data Barang ATK'.</t>
  </si>
  <si>
    <t xml:space="preserve">Jumlah Jenis Barang</t>
  </si>
  <si>
    <t xml:space="preserve">Total Unit Stok</t>
  </si>
  <si>
    <t xml:space="preserve">Nilai Persediaan (Rp)</t>
  </si>
  <si>
    <t xml:space="preserve">Perlu Dibeli</t>
  </si>
  <si>
    <t xml:space="preserve">KETERANGAN PENGGUNAAN</t>
  </si>
  <si>
    <t xml:space="preserve">Isi berkas</t>
  </si>
  <si>
    <t xml:space="preserve">Lembar 'Data Barang ATK'</t>
  </si>
  <si>
    <t xml:space="preserve">Daftar master 50 barang ATK yang umum ada di gudang kantor.</t>
  </si>
  <si>
    <t xml:space="preserve">Lembar 'Rekap Kategori'</t>
  </si>
  <si>
    <t xml:space="preserve">Ringkasan otomatis per kategori memakai COUNTIF, SUMIF, dan COUNTIFS.</t>
  </si>
  <si>
    <t xml:space="preserve">Kolom yang diisi manual</t>
  </si>
  <si>
    <t xml:space="preserve">Ditandai dengan angka berwarna biru.</t>
  </si>
  <si>
    <t xml:space="preserve">Kode Barang, Nama Barang, Kategori, Satuan, Stok Saat Ini, Stok Minimum, Harga Satuan.</t>
  </si>
  <si>
    <t xml:space="preserve">Kolom otomatis (rumus)</t>
  </si>
  <si>
    <t xml:space="preserve">Jangan diketik ulang, biarkan rumusnya bekerja.</t>
  </si>
  <si>
    <t xml:space="preserve">Stok Saat Ini dikali Harga Satuan</t>
  </si>
  <si>
    <t xml:space="preserve">Terisi "Habis" jika stok 0, "Perlu Restock" jika stok &lt;= stok minimum, selain itu "Aman".</t>
  </si>
  <si>
    <t xml:space="preserve">Penanda warna</t>
  </si>
  <si>
    <t xml:space="preserve">Baris kuning</t>
  </si>
  <si>
    <t xml:space="preserve">Stok sudah menyentuh atau di bawah batas minimum, perlu dibeli.</t>
  </si>
  <si>
    <t xml:space="preserve">Baris merah muda</t>
  </si>
  <si>
    <t xml:space="preserve">Stok habis.</t>
  </si>
  <si>
    <t xml:space="preserve">Cara menambah barang baru</t>
  </si>
  <si>
    <t xml:space="preserve">Sisipkan baris di atas baris TOTAL, lalu salin rumus kolom I dan J dari baris di atasnya.</t>
  </si>
  <si>
    <t xml:space="preserve">CATATAN PENTING</t>
  </si>
  <si>
    <t xml:space="preserve">Angka stok</t>
  </si>
  <si>
    <t xml:space="preserve">Data contoh, bukan data operasional. Sesuaikan dengan kondisi gudang Anda.</t>
  </si>
  <si>
    <t xml:space="preserve">Harga satuan</t>
  </si>
  <si>
    <t xml:space="preserve">Perkiraan harga pasar ATK di Indonesia untuk keperluan simulasi. Ganti dengan harga beli yang sebenarnya sebelum dipakai untuk laporan keuangan.</t>
  </si>
  <si>
    <t xml:space="preserve">Stok minimum</t>
  </si>
  <si>
    <t xml:space="preserve">Ditetapkan kira-kira sepertiga dari stok normal. Sesuaikan dengan kecepatan pemakaian dan lama waktu pengadaan di kantor Anda.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</si>
</sst>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&quot;Rp &quot;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202B"/>
      <name val="Arial"/>
      <family val="0"/>
      <charset val="1"/>
    </font>
    <font>
      <i val="true"/>
      <sz val="9"/>
      <color rgb="FF5D6F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B8E"/>
        <bgColor rgb="FF003366"/>
      </patternFill>
    </fill>
    <fill>
      <patternFill patternType="solid">
        <fgColor rgb="FFF2F5F8"/>
        <bgColor rgb="FFFFFFFF"/>
      </patternFill>
    </fill>
    <fill>
      <patternFill patternType="solid">
        <fgColor rgb="FFFDF0D6"/>
        <bgColor rgb="FFFBE4E3"/>
      </patternFill>
    </fill>
    <fill>
      <patternFill patternType="solid">
        <fgColor rgb="FFFBE4E3"/>
        <bgColor rgb="FFFDF0D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CE4"/>
      </left>
      <right style="thin">
        <color rgb="FFD5DCE4"/>
      </right>
      <top style="thin">
        <color rgb="FFD5DCE4"/>
      </top>
      <bottom style="thin">
        <color rgb="FFD5D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B8E"/>
          <bgColor rgb="FF000000"/>
        </patternFill>
      </fill>
    </dxf>
    <dxf>
      <fill>
        <patternFill patternType="solid">
          <fgColor rgb="FFFDF0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BE4E3"/>
        </patternFill>
      </fill>
    </dxf>
    <dxf>
      <fill>
        <patternFill>
          <bgColor rgb="FFFDF0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0D6"/>
      <rgbColor rgb="FFF2F5F8"/>
      <rgbColor rgb="FF660066"/>
      <rgbColor rgb="FFFF8080"/>
      <rgbColor rgb="FF0066CC"/>
      <rgbColor rgb="FFD5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4E3"/>
      <rgbColor rgb="FF3366FF"/>
      <rgbColor rgb="FF33CCCC"/>
      <rgbColor rgb="FF99CC00"/>
      <rgbColor rgb="FFFFCC00"/>
      <rgbColor rgb="FFFF9900"/>
      <rgbColor rgb="FFFF6600"/>
      <rgbColor rgb="FF5D6F80"/>
      <rgbColor rgb="FF969696"/>
      <rgbColor rgb="FF003366"/>
      <rgbColor rgb="FF339966"/>
      <rgbColor rgb="FF003300"/>
      <rgbColor rgb="FF333300"/>
      <rgbColor rgb="FF993300"/>
      <rgbColor rgb="FF993366"/>
      <rgbColor rgb="FF1F4B8E"/>
      <rgbColor rgb="FF1420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21"/>
    <col collapsed="false" customWidth="true" hidden="false" outlineLevel="0" max="5" min="5" style="0" width="8"/>
    <col collapsed="false" customWidth="true" hidden="false" outlineLevel="0" max="7" min="6" style="0" width="13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</v>
      </c>
      <c r="B5" s="5" t="s">
        <v>12</v>
      </c>
      <c r="C5" s="5" t="s">
        <v>13</v>
      </c>
      <c r="D5" s="5" t="s">
        <v>14</v>
      </c>
      <c r="E5" s="6" t="s">
        <v>15</v>
      </c>
      <c r="F5" s="7" t="n">
        <v>120</v>
      </c>
      <c r="G5" s="7" t="n">
        <v>40</v>
      </c>
      <c r="H5" s="8" t="n">
        <v>3000</v>
      </c>
      <c r="I5" s="9" t="n">
        <f aca="false">F5*H5</f>
        <v>360000</v>
      </c>
      <c r="J5" s="4" t="str">
        <f aca="false">IF(F5&lt;=0,"Habis",IF(F5&lt;=G5,"Perlu Restock","Aman"))</f>
        <v>Aman</v>
      </c>
    </row>
    <row r="6" customFormat="false" ht="15" hidden="false" customHeight="false" outlineLevel="0" collapsed="false">
      <c r="A6" s="4" t="n">
        <v>2</v>
      </c>
      <c r="B6" s="5" t="s">
        <v>16</v>
      </c>
      <c r="C6" s="5" t="s">
        <v>17</v>
      </c>
      <c r="D6" s="5" t="s">
        <v>14</v>
      </c>
      <c r="E6" s="6" t="s">
        <v>15</v>
      </c>
      <c r="F6" s="7" t="n">
        <v>95</v>
      </c>
      <c r="G6" s="7" t="n">
        <v>40</v>
      </c>
      <c r="H6" s="8" t="n">
        <v>3000</v>
      </c>
      <c r="I6" s="9" t="n">
        <f aca="false">F6*H6</f>
        <v>285000</v>
      </c>
      <c r="J6" s="4" t="str">
        <f aca="false">IF(F6&lt;=0,"Habis",IF(F6&lt;=G6,"Perlu Restock","Aman"))</f>
        <v>Aman</v>
      </c>
    </row>
    <row r="7" customFormat="false" ht="15" hidden="false" customHeight="false" outlineLevel="0" collapsed="false">
      <c r="A7" s="4" t="n">
        <v>3</v>
      </c>
      <c r="B7" s="5" t="s">
        <v>18</v>
      </c>
      <c r="C7" s="5" t="s">
        <v>19</v>
      </c>
      <c r="D7" s="5" t="s">
        <v>14</v>
      </c>
      <c r="E7" s="6" t="s">
        <v>15</v>
      </c>
      <c r="F7" s="7" t="n">
        <v>60</v>
      </c>
      <c r="G7" s="7" t="n">
        <v>24</v>
      </c>
      <c r="H7" s="8" t="n">
        <v>8500</v>
      </c>
      <c r="I7" s="9" t="n">
        <f aca="false">F7*H7</f>
        <v>510000</v>
      </c>
      <c r="J7" s="4" t="str">
        <f aca="false">IF(F7&lt;=0,"Habis",IF(F7&lt;=G7,"Perlu Restock","Aman"))</f>
        <v>Aman</v>
      </c>
    </row>
    <row r="8" customFormat="false" ht="15" hidden="false" customHeight="false" outlineLevel="0" collapsed="false">
      <c r="A8" s="4" t="n">
        <v>4</v>
      </c>
      <c r="B8" s="5" t="s">
        <v>20</v>
      </c>
      <c r="C8" s="5" t="s">
        <v>21</v>
      </c>
      <c r="D8" s="5" t="s">
        <v>14</v>
      </c>
      <c r="E8" s="6" t="s">
        <v>15</v>
      </c>
      <c r="F8" s="7" t="n">
        <v>84</v>
      </c>
      <c r="G8" s="7" t="n">
        <v>30</v>
      </c>
      <c r="H8" s="8" t="n">
        <v>4500</v>
      </c>
      <c r="I8" s="9" t="n">
        <f aca="false">F8*H8</f>
        <v>378000</v>
      </c>
      <c r="J8" s="4" t="str">
        <f aca="false">IF(F8&lt;=0,"Habis",IF(F8&lt;=G8,"Perlu Restock","Aman"))</f>
        <v>Aman</v>
      </c>
    </row>
    <row r="9" customFormat="false" ht="15" hidden="false" customHeight="false" outlineLevel="0" collapsed="false">
      <c r="A9" s="4" t="n">
        <v>5</v>
      </c>
      <c r="B9" s="5" t="s">
        <v>22</v>
      </c>
      <c r="C9" s="5" t="s">
        <v>23</v>
      </c>
      <c r="D9" s="5" t="s">
        <v>14</v>
      </c>
      <c r="E9" s="6" t="s">
        <v>15</v>
      </c>
      <c r="F9" s="7" t="n">
        <v>25</v>
      </c>
      <c r="G9" s="7" t="n">
        <v>12</v>
      </c>
      <c r="H9" s="8" t="n">
        <v>18000</v>
      </c>
      <c r="I9" s="9" t="n">
        <f aca="false">F9*H9</f>
        <v>450000</v>
      </c>
      <c r="J9" s="4" t="str">
        <f aca="false">IF(F9&lt;=0,"Habis",IF(F9&lt;=G9,"Perlu Restock","Aman"))</f>
        <v>Aman</v>
      </c>
    </row>
    <row r="10" customFormat="false" ht="15" hidden="false" customHeight="false" outlineLevel="0" collapsed="false">
      <c r="A10" s="4" t="n">
        <v>6</v>
      </c>
      <c r="B10" s="5" t="s">
        <v>24</v>
      </c>
      <c r="C10" s="5" t="s">
        <v>25</v>
      </c>
      <c r="D10" s="5" t="s">
        <v>14</v>
      </c>
      <c r="E10" s="6" t="s">
        <v>26</v>
      </c>
      <c r="F10" s="7" t="n">
        <v>18</v>
      </c>
      <c r="G10" s="7" t="n">
        <v>10</v>
      </c>
      <c r="H10" s="8" t="n">
        <v>6000</v>
      </c>
      <c r="I10" s="9" t="n">
        <f aca="false">F10*H10</f>
        <v>108000</v>
      </c>
      <c r="J10" s="4" t="str">
        <f aca="false">IF(F10&lt;=0,"Habis",IF(F10&lt;=G10,"Perlu Restock","Aman"))</f>
        <v>Aman</v>
      </c>
    </row>
    <row r="11" customFormat="false" ht="15" hidden="false" customHeight="false" outlineLevel="0" collapsed="false">
      <c r="A11" s="4" t="n">
        <v>7</v>
      </c>
      <c r="B11" s="5" t="s">
        <v>27</v>
      </c>
      <c r="C11" s="5" t="s">
        <v>28</v>
      </c>
      <c r="D11" s="5" t="s">
        <v>14</v>
      </c>
      <c r="E11" s="6" t="s">
        <v>15</v>
      </c>
      <c r="F11" s="7" t="n">
        <v>45</v>
      </c>
      <c r="G11" s="7" t="n">
        <v>20</v>
      </c>
      <c r="H11" s="8" t="n">
        <v>3500</v>
      </c>
      <c r="I11" s="9" t="n">
        <f aca="false">F11*H11</f>
        <v>157500</v>
      </c>
      <c r="J11" s="4" t="str">
        <f aca="false">IF(F11&lt;=0,"Habis",IF(F11&lt;=G11,"Perlu Restock","Aman"))</f>
        <v>Aman</v>
      </c>
    </row>
    <row r="12" customFormat="false" ht="15" hidden="false" customHeight="false" outlineLevel="0" collapsed="false">
      <c r="A12" s="4" t="n">
        <v>8</v>
      </c>
      <c r="B12" s="5" t="s">
        <v>29</v>
      </c>
      <c r="C12" s="5" t="s">
        <v>30</v>
      </c>
      <c r="D12" s="5" t="s">
        <v>14</v>
      </c>
      <c r="E12" s="6" t="s">
        <v>15</v>
      </c>
      <c r="F12" s="7" t="n">
        <v>22</v>
      </c>
      <c r="G12" s="7" t="n">
        <v>12</v>
      </c>
      <c r="H12" s="8" t="n">
        <v>12000</v>
      </c>
      <c r="I12" s="9" t="n">
        <f aca="false">F12*H12</f>
        <v>264000</v>
      </c>
      <c r="J12" s="4" t="str">
        <f aca="false">IF(F12&lt;=0,"Habis",IF(F12&lt;=G12,"Perlu Restock","Aman"))</f>
        <v>Aman</v>
      </c>
    </row>
    <row r="13" customFormat="false" ht="15" hidden="false" customHeight="false" outlineLevel="0" collapsed="false">
      <c r="A13" s="4" t="n">
        <v>9</v>
      </c>
      <c r="B13" s="5" t="s">
        <v>31</v>
      </c>
      <c r="C13" s="5" t="s">
        <v>32</v>
      </c>
      <c r="D13" s="5" t="s">
        <v>14</v>
      </c>
      <c r="E13" s="6" t="s">
        <v>15</v>
      </c>
      <c r="F13" s="7" t="n">
        <v>36</v>
      </c>
      <c r="G13" s="7" t="n">
        <v>15</v>
      </c>
      <c r="H13" s="8" t="n">
        <v>11000</v>
      </c>
      <c r="I13" s="9" t="n">
        <f aca="false">F13*H13</f>
        <v>396000</v>
      </c>
      <c r="J13" s="4" t="str">
        <f aca="false">IF(F13&lt;=0,"Habis",IF(F13&lt;=G13,"Perlu Restock","Aman"))</f>
        <v>Aman</v>
      </c>
    </row>
    <row r="14" customFormat="false" ht="15" hidden="false" customHeight="false" outlineLevel="0" collapsed="false">
      <c r="A14" s="4" t="n">
        <v>10</v>
      </c>
      <c r="B14" s="5" t="s">
        <v>33</v>
      </c>
      <c r="C14" s="5" t="s">
        <v>34</v>
      </c>
      <c r="D14" s="5" t="s">
        <v>14</v>
      </c>
      <c r="E14" s="6" t="s">
        <v>15</v>
      </c>
      <c r="F14" s="7" t="n">
        <v>20</v>
      </c>
      <c r="G14" s="7" t="n">
        <v>10</v>
      </c>
      <c r="H14" s="8" t="n">
        <v>12500</v>
      </c>
      <c r="I14" s="9" t="n">
        <f aca="false">F14*H14</f>
        <v>250000</v>
      </c>
      <c r="J14" s="4" t="str">
        <f aca="false">IF(F14&lt;=0,"Habis",IF(F14&lt;=G14,"Perlu Restock","Aman"))</f>
        <v>Aman</v>
      </c>
    </row>
    <row r="15" customFormat="false" ht="15" hidden="false" customHeight="false" outlineLevel="0" collapsed="false">
      <c r="A15" s="4" t="n">
        <v>11</v>
      </c>
      <c r="B15" s="5" t="s">
        <v>35</v>
      </c>
      <c r="C15" s="5" t="s">
        <v>36</v>
      </c>
      <c r="D15" s="5" t="s">
        <v>14</v>
      </c>
      <c r="E15" s="6" t="s">
        <v>15</v>
      </c>
      <c r="F15" s="7" t="n">
        <v>32</v>
      </c>
      <c r="G15" s="7" t="n">
        <v>15</v>
      </c>
      <c r="H15" s="8" t="n">
        <v>13000</v>
      </c>
      <c r="I15" s="9" t="n">
        <f aca="false">F15*H15</f>
        <v>416000</v>
      </c>
      <c r="J15" s="4" t="str">
        <f aca="false">IF(F15&lt;=0,"Habis",IF(F15&lt;=G15,"Perlu Restock","Aman"))</f>
        <v>Aman</v>
      </c>
    </row>
    <row r="16" customFormat="false" ht="15" hidden="false" customHeight="false" outlineLevel="0" collapsed="false">
      <c r="A16" s="4" t="n">
        <v>12</v>
      </c>
      <c r="B16" s="5" t="s">
        <v>37</v>
      </c>
      <c r="C16" s="5" t="s">
        <v>38</v>
      </c>
      <c r="D16" s="5" t="s">
        <v>14</v>
      </c>
      <c r="E16" s="6" t="s">
        <v>15</v>
      </c>
      <c r="F16" s="7" t="n">
        <v>15</v>
      </c>
      <c r="G16" s="7" t="n">
        <v>8</v>
      </c>
      <c r="H16" s="8" t="n">
        <v>5000</v>
      </c>
      <c r="I16" s="9" t="n">
        <f aca="false">F16*H16</f>
        <v>75000</v>
      </c>
      <c r="J16" s="4" t="str">
        <f aca="false">IF(F16&lt;=0,"Habis",IF(F16&lt;=G16,"Perlu Restock","Aman"))</f>
        <v>Aman</v>
      </c>
    </row>
    <row r="17" customFormat="false" ht="15" hidden="false" customHeight="false" outlineLevel="0" collapsed="false">
      <c r="A17" s="4" t="n">
        <v>13</v>
      </c>
      <c r="B17" s="5" t="s">
        <v>39</v>
      </c>
      <c r="C17" s="5" t="s">
        <v>40</v>
      </c>
      <c r="D17" s="5" t="s">
        <v>41</v>
      </c>
      <c r="E17" s="6" t="s">
        <v>42</v>
      </c>
      <c r="F17" s="7" t="n">
        <v>48</v>
      </c>
      <c r="G17" s="7" t="n">
        <v>15</v>
      </c>
      <c r="H17" s="8" t="n">
        <v>55000</v>
      </c>
      <c r="I17" s="9" t="n">
        <f aca="false">F17*H17</f>
        <v>2640000</v>
      </c>
      <c r="J17" s="4" t="str">
        <f aca="false">IF(F17&lt;=0,"Habis",IF(F17&lt;=G17,"Perlu Restock","Aman"))</f>
        <v>Aman</v>
      </c>
    </row>
    <row r="18" customFormat="false" ht="15" hidden="false" customHeight="false" outlineLevel="0" collapsed="false">
      <c r="A18" s="4" t="n">
        <v>14</v>
      </c>
      <c r="B18" s="5" t="s">
        <v>43</v>
      </c>
      <c r="C18" s="5" t="s">
        <v>44</v>
      </c>
      <c r="D18" s="5" t="s">
        <v>41</v>
      </c>
      <c r="E18" s="6" t="s">
        <v>42</v>
      </c>
      <c r="F18" s="7" t="n">
        <v>22</v>
      </c>
      <c r="G18" s="7" t="n">
        <v>10</v>
      </c>
      <c r="H18" s="8" t="n">
        <v>62000</v>
      </c>
      <c r="I18" s="9" t="n">
        <f aca="false">F18*H18</f>
        <v>1364000</v>
      </c>
      <c r="J18" s="4" t="str">
        <f aca="false">IF(F18&lt;=0,"Habis",IF(F18&lt;=G18,"Perlu Restock","Aman"))</f>
        <v>Aman</v>
      </c>
    </row>
    <row r="19" customFormat="false" ht="15" hidden="false" customHeight="false" outlineLevel="0" collapsed="false">
      <c r="A19" s="4" t="n">
        <v>15</v>
      </c>
      <c r="B19" s="5" t="s">
        <v>45</v>
      </c>
      <c r="C19" s="5" t="s">
        <v>46</v>
      </c>
      <c r="D19" s="5" t="s">
        <v>41</v>
      </c>
      <c r="E19" s="6" t="s">
        <v>42</v>
      </c>
      <c r="F19" s="7" t="n">
        <v>30</v>
      </c>
      <c r="G19" s="7" t="n">
        <v>12</v>
      </c>
      <c r="H19" s="8" t="n">
        <v>60000</v>
      </c>
      <c r="I19" s="9" t="n">
        <f aca="false">F19*H19</f>
        <v>1800000</v>
      </c>
      <c r="J19" s="4" t="str">
        <f aca="false">IF(F19&lt;=0,"Habis",IF(F19&lt;=G19,"Perlu Restock","Aman"))</f>
        <v>Aman</v>
      </c>
    </row>
    <row r="20" customFormat="false" ht="15" hidden="false" customHeight="false" outlineLevel="0" collapsed="false">
      <c r="A20" s="4" t="n">
        <v>16</v>
      </c>
      <c r="B20" s="5" t="s">
        <v>47</v>
      </c>
      <c r="C20" s="5" t="s">
        <v>48</v>
      </c>
      <c r="D20" s="5" t="s">
        <v>41</v>
      </c>
      <c r="E20" s="6" t="s">
        <v>42</v>
      </c>
      <c r="F20" s="7" t="n">
        <v>4</v>
      </c>
      <c r="G20" s="7" t="n">
        <v>5</v>
      </c>
      <c r="H20" s="8" t="n">
        <v>125000</v>
      </c>
      <c r="I20" s="9" t="n">
        <f aca="false">F20*H20</f>
        <v>500000</v>
      </c>
      <c r="J20" s="4" t="str">
        <f aca="false">IF(F20&lt;=0,"Habis",IF(F20&lt;=G20,"Perlu Restock","Aman"))</f>
        <v>Perlu Restock</v>
      </c>
    </row>
    <row r="21" customFormat="false" ht="15" hidden="false" customHeight="false" outlineLevel="0" collapsed="false">
      <c r="A21" s="4" t="n">
        <v>17</v>
      </c>
      <c r="B21" s="5" t="s">
        <v>49</v>
      </c>
      <c r="C21" s="5" t="s">
        <v>50</v>
      </c>
      <c r="D21" s="5" t="s">
        <v>41</v>
      </c>
      <c r="E21" s="6" t="s">
        <v>51</v>
      </c>
      <c r="F21" s="7" t="n">
        <v>6</v>
      </c>
      <c r="G21" s="7" t="n">
        <v>3</v>
      </c>
      <c r="H21" s="8" t="n">
        <v>285000</v>
      </c>
      <c r="I21" s="9" t="n">
        <f aca="false">F21*H21</f>
        <v>1710000</v>
      </c>
      <c r="J21" s="4" t="str">
        <f aca="false">IF(F21&lt;=0,"Habis",IF(F21&lt;=G21,"Perlu Restock","Aman"))</f>
        <v>Aman</v>
      </c>
    </row>
    <row r="22" customFormat="false" ht="15" hidden="false" customHeight="false" outlineLevel="0" collapsed="false">
      <c r="A22" s="4" t="n">
        <v>18</v>
      </c>
      <c r="B22" s="5" t="s">
        <v>52</v>
      </c>
      <c r="C22" s="5" t="s">
        <v>53</v>
      </c>
      <c r="D22" s="5" t="s">
        <v>41</v>
      </c>
      <c r="E22" s="6" t="s">
        <v>26</v>
      </c>
      <c r="F22" s="7" t="n">
        <v>25</v>
      </c>
      <c r="G22" s="7" t="n">
        <v>10</v>
      </c>
      <c r="H22" s="8" t="n">
        <v>22000</v>
      </c>
      <c r="I22" s="9" t="n">
        <f aca="false">F22*H22</f>
        <v>550000</v>
      </c>
      <c r="J22" s="4" t="str">
        <f aca="false">IF(F22&lt;=0,"Habis",IF(F22&lt;=G22,"Perlu Restock","Aman"))</f>
        <v>Aman</v>
      </c>
    </row>
    <row r="23" customFormat="false" ht="15" hidden="false" customHeight="false" outlineLevel="0" collapsed="false">
      <c r="A23" s="4" t="n">
        <v>19</v>
      </c>
      <c r="B23" s="5" t="s">
        <v>54</v>
      </c>
      <c r="C23" s="5" t="s">
        <v>55</v>
      </c>
      <c r="D23" s="5" t="s">
        <v>41</v>
      </c>
      <c r="E23" s="6" t="s">
        <v>26</v>
      </c>
      <c r="F23" s="7" t="n">
        <v>18</v>
      </c>
      <c r="G23" s="7" t="n">
        <v>8</v>
      </c>
      <c r="H23" s="8" t="n">
        <v>15000</v>
      </c>
      <c r="I23" s="9" t="n">
        <f aca="false">F23*H23</f>
        <v>270000</v>
      </c>
      <c r="J23" s="4" t="str">
        <f aca="false">IF(F23&lt;=0,"Habis",IF(F23&lt;=G23,"Perlu Restock","Aman"))</f>
        <v>Aman</v>
      </c>
    </row>
    <row r="24" customFormat="false" ht="15" hidden="false" customHeight="false" outlineLevel="0" collapsed="false">
      <c r="A24" s="4" t="n">
        <v>20</v>
      </c>
      <c r="B24" s="5" t="s">
        <v>56</v>
      </c>
      <c r="C24" s="5" t="s">
        <v>57</v>
      </c>
      <c r="D24" s="5" t="s">
        <v>41</v>
      </c>
      <c r="E24" s="6" t="s">
        <v>15</v>
      </c>
      <c r="F24" s="7" t="n">
        <v>26</v>
      </c>
      <c r="G24" s="7" t="n">
        <v>10</v>
      </c>
      <c r="H24" s="8" t="n">
        <v>17000</v>
      </c>
      <c r="I24" s="9" t="n">
        <f aca="false">F24*H24</f>
        <v>442000</v>
      </c>
      <c r="J24" s="4" t="str">
        <f aca="false">IF(F24&lt;=0,"Habis",IF(F24&lt;=G24,"Perlu Restock","Aman"))</f>
        <v>Aman</v>
      </c>
    </row>
    <row r="25" customFormat="false" ht="15" hidden="false" customHeight="false" outlineLevel="0" collapsed="false">
      <c r="A25" s="4" t="n">
        <v>21</v>
      </c>
      <c r="B25" s="5" t="s">
        <v>58</v>
      </c>
      <c r="C25" s="5" t="s">
        <v>59</v>
      </c>
      <c r="D25" s="5" t="s">
        <v>41</v>
      </c>
      <c r="E25" s="6" t="s">
        <v>15</v>
      </c>
      <c r="F25" s="7" t="n">
        <v>30</v>
      </c>
      <c r="G25" s="7" t="n">
        <v>12</v>
      </c>
      <c r="H25" s="8" t="n">
        <v>21000</v>
      </c>
      <c r="I25" s="9" t="n">
        <f aca="false">F25*H25</f>
        <v>630000</v>
      </c>
      <c r="J25" s="4" t="str">
        <f aca="false">IF(F25&lt;=0,"Habis",IF(F25&lt;=G25,"Perlu Restock","Aman"))</f>
        <v>Aman</v>
      </c>
    </row>
    <row r="26" customFormat="false" ht="15" hidden="false" customHeight="false" outlineLevel="0" collapsed="false">
      <c r="A26" s="4" t="n">
        <v>22</v>
      </c>
      <c r="B26" s="5" t="s">
        <v>60</v>
      </c>
      <c r="C26" s="5" t="s">
        <v>61</v>
      </c>
      <c r="D26" s="5" t="s">
        <v>41</v>
      </c>
      <c r="E26" s="6" t="s">
        <v>26</v>
      </c>
      <c r="F26" s="7" t="n">
        <v>40</v>
      </c>
      <c r="G26" s="7" t="n">
        <v>15</v>
      </c>
      <c r="H26" s="8" t="n">
        <v>12500</v>
      </c>
      <c r="I26" s="9" t="n">
        <f aca="false">F26*H26</f>
        <v>500000</v>
      </c>
      <c r="J26" s="4" t="str">
        <f aca="false">IF(F26&lt;=0,"Habis",IF(F26&lt;=G26,"Perlu Restock","Aman"))</f>
        <v>Aman</v>
      </c>
    </row>
    <row r="27" customFormat="false" ht="15" hidden="false" customHeight="false" outlineLevel="0" collapsed="false">
      <c r="A27" s="4" t="n">
        <v>23</v>
      </c>
      <c r="B27" s="5" t="s">
        <v>62</v>
      </c>
      <c r="C27" s="5" t="s">
        <v>63</v>
      </c>
      <c r="D27" s="5" t="s">
        <v>64</v>
      </c>
      <c r="E27" s="6" t="s">
        <v>15</v>
      </c>
      <c r="F27" s="7" t="n">
        <v>14</v>
      </c>
      <c r="G27" s="7" t="n">
        <v>6</v>
      </c>
      <c r="H27" s="8" t="n">
        <v>25000</v>
      </c>
      <c r="I27" s="9" t="n">
        <f aca="false">F27*H27</f>
        <v>350000</v>
      </c>
      <c r="J27" s="4" t="str">
        <f aca="false">IF(F27&lt;=0,"Habis",IF(F27&lt;=G27,"Perlu Restock","Aman"))</f>
        <v>Aman</v>
      </c>
    </row>
    <row r="28" customFormat="false" ht="15" hidden="false" customHeight="false" outlineLevel="0" collapsed="false">
      <c r="A28" s="4" t="n">
        <v>24</v>
      </c>
      <c r="B28" s="5" t="s">
        <v>65</v>
      </c>
      <c r="C28" s="5" t="s">
        <v>66</v>
      </c>
      <c r="D28" s="5" t="s">
        <v>64</v>
      </c>
      <c r="E28" s="6" t="s">
        <v>15</v>
      </c>
      <c r="F28" s="7" t="n">
        <v>8</v>
      </c>
      <c r="G28" s="7" t="n">
        <v>4</v>
      </c>
      <c r="H28" s="8" t="n">
        <v>78000</v>
      </c>
      <c r="I28" s="9" t="n">
        <f aca="false">F28*H28</f>
        <v>624000</v>
      </c>
      <c r="J28" s="4" t="str">
        <f aca="false">IF(F28&lt;=0,"Habis",IF(F28&lt;=G28,"Perlu Restock","Aman"))</f>
        <v>Aman</v>
      </c>
    </row>
    <row r="29" customFormat="false" ht="15" hidden="false" customHeight="false" outlineLevel="0" collapsed="false">
      <c r="A29" s="4" t="n">
        <v>25</v>
      </c>
      <c r="B29" s="5" t="s">
        <v>67</v>
      </c>
      <c r="C29" s="5" t="s">
        <v>68</v>
      </c>
      <c r="D29" s="5" t="s">
        <v>64</v>
      </c>
      <c r="E29" s="6" t="s">
        <v>51</v>
      </c>
      <c r="F29" s="7" t="n">
        <v>34</v>
      </c>
      <c r="G29" s="7" t="n">
        <v>12</v>
      </c>
      <c r="H29" s="8" t="n">
        <v>4000</v>
      </c>
      <c r="I29" s="9" t="n">
        <f aca="false">F29*H29</f>
        <v>136000</v>
      </c>
      <c r="J29" s="4" t="str">
        <f aca="false">IF(F29&lt;=0,"Habis",IF(F29&lt;=G29,"Perlu Restock","Aman"))</f>
        <v>Aman</v>
      </c>
    </row>
    <row r="30" customFormat="false" ht="15" hidden="false" customHeight="false" outlineLevel="0" collapsed="false">
      <c r="A30" s="4" t="n">
        <v>26</v>
      </c>
      <c r="B30" s="5" t="s">
        <v>69</v>
      </c>
      <c r="C30" s="5" t="s">
        <v>70</v>
      </c>
      <c r="D30" s="5" t="s">
        <v>64</v>
      </c>
      <c r="E30" s="6" t="s">
        <v>51</v>
      </c>
      <c r="F30" s="7" t="n">
        <v>20</v>
      </c>
      <c r="G30" s="7" t="n">
        <v>8</v>
      </c>
      <c r="H30" s="8" t="n">
        <v>9000</v>
      </c>
      <c r="I30" s="9" t="n">
        <f aca="false">F30*H30</f>
        <v>180000</v>
      </c>
      <c r="J30" s="4" t="str">
        <f aca="false">IF(F30&lt;=0,"Habis",IF(F30&lt;=G30,"Perlu Restock","Aman"))</f>
        <v>Aman</v>
      </c>
    </row>
    <row r="31" customFormat="false" ht="15" hidden="false" customHeight="false" outlineLevel="0" collapsed="false">
      <c r="A31" s="4" t="n">
        <v>27</v>
      </c>
      <c r="B31" s="5" t="s">
        <v>71</v>
      </c>
      <c r="C31" s="5" t="s">
        <v>72</v>
      </c>
      <c r="D31" s="5" t="s">
        <v>64</v>
      </c>
      <c r="E31" s="6" t="s">
        <v>15</v>
      </c>
      <c r="F31" s="7" t="n">
        <v>3</v>
      </c>
      <c r="G31" s="7" t="n">
        <v>3</v>
      </c>
      <c r="H31" s="8" t="n">
        <v>62000</v>
      </c>
      <c r="I31" s="9" t="n">
        <f aca="false">F31*H31</f>
        <v>186000</v>
      </c>
      <c r="J31" s="4" t="str">
        <f aca="false">IF(F31&lt;=0,"Habis",IF(F31&lt;=G31,"Perlu Restock","Aman"))</f>
        <v>Perlu Restock</v>
      </c>
    </row>
    <row r="32" customFormat="false" ht="15" hidden="false" customHeight="false" outlineLevel="0" collapsed="false">
      <c r="A32" s="4" t="n">
        <v>28</v>
      </c>
      <c r="B32" s="5" t="s">
        <v>73</v>
      </c>
      <c r="C32" s="5" t="s">
        <v>74</v>
      </c>
      <c r="D32" s="5" t="s">
        <v>64</v>
      </c>
      <c r="E32" s="6" t="s">
        <v>15</v>
      </c>
      <c r="F32" s="7" t="n">
        <v>12</v>
      </c>
      <c r="G32" s="7" t="n">
        <v>5</v>
      </c>
      <c r="H32" s="8" t="n">
        <v>16000</v>
      </c>
      <c r="I32" s="9" t="n">
        <f aca="false">F32*H32</f>
        <v>192000</v>
      </c>
      <c r="J32" s="4" t="str">
        <f aca="false">IF(F32&lt;=0,"Habis",IF(F32&lt;=G32,"Perlu Restock","Aman"))</f>
        <v>Aman</v>
      </c>
    </row>
    <row r="33" customFormat="false" ht="15" hidden="false" customHeight="false" outlineLevel="0" collapsed="false">
      <c r="A33" s="4" t="n">
        <v>29</v>
      </c>
      <c r="B33" s="5" t="s">
        <v>75</v>
      </c>
      <c r="C33" s="5" t="s">
        <v>76</v>
      </c>
      <c r="D33" s="5" t="s">
        <v>64</v>
      </c>
      <c r="E33" s="6" t="s">
        <v>15</v>
      </c>
      <c r="F33" s="7" t="n">
        <v>10</v>
      </c>
      <c r="G33" s="7" t="n">
        <v>5</v>
      </c>
      <c r="H33" s="8" t="n">
        <v>14000</v>
      </c>
      <c r="I33" s="9" t="n">
        <f aca="false">F33*H33</f>
        <v>140000</v>
      </c>
      <c r="J33" s="4" t="str">
        <f aca="false">IF(F33&lt;=0,"Habis",IF(F33&lt;=G33,"Perlu Restock","Aman"))</f>
        <v>Aman</v>
      </c>
    </row>
    <row r="34" customFormat="false" ht="15" hidden="false" customHeight="false" outlineLevel="0" collapsed="false">
      <c r="A34" s="4" t="n">
        <v>30</v>
      </c>
      <c r="B34" s="5" t="s">
        <v>77</v>
      </c>
      <c r="C34" s="5" t="s">
        <v>78</v>
      </c>
      <c r="D34" s="5" t="s">
        <v>64</v>
      </c>
      <c r="E34" s="6" t="s">
        <v>26</v>
      </c>
      <c r="F34" s="7" t="n">
        <v>12</v>
      </c>
      <c r="G34" s="7" t="n">
        <v>6</v>
      </c>
      <c r="H34" s="8" t="n">
        <v>9500</v>
      </c>
      <c r="I34" s="9" t="n">
        <f aca="false">F34*H34</f>
        <v>114000</v>
      </c>
      <c r="J34" s="4" t="str">
        <f aca="false">IF(F34&lt;=0,"Habis",IF(F34&lt;=G34,"Perlu Restock","Aman"))</f>
        <v>Aman</v>
      </c>
    </row>
    <row r="35" customFormat="false" ht="15" hidden="false" customHeight="false" outlineLevel="0" collapsed="false">
      <c r="A35" s="4" t="n">
        <v>31</v>
      </c>
      <c r="B35" s="5" t="s">
        <v>79</v>
      </c>
      <c r="C35" s="5" t="s">
        <v>80</v>
      </c>
      <c r="D35" s="5" t="s">
        <v>64</v>
      </c>
      <c r="E35" s="6" t="s">
        <v>81</v>
      </c>
      <c r="F35" s="7" t="n">
        <v>28</v>
      </c>
      <c r="G35" s="7" t="n">
        <v>10</v>
      </c>
      <c r="H35" s="8" t="n">
        <v>13000</v>
      </c>
      <c r="I35" s="9" t="n">
        <f aca="false">F35*H35</f>
        <v>364000</v>
      </c>
      <c r="J35" s="4" t="str">
        <f aca="false">IF(F35&lt;=0,"Habis",IF(F35&lt;=G35,"Perlu Restock","Aman"))</f>
        <v>Aman</v>
      </c>
    </row>
    <row r="36" customFormat="false" ht="15" hidden="false" customHeight="false" outlineLevel="0" collapsed="false">
      <c r="A36" s="4" t="n">
        <v>32</v>
      </c>
      <c r="B36" s="5" t="s">
        <v>82</v>
      </c>
      <c r="C36" s="5" t="s">
        <v>83</v>
      </c>
      <c r="D36" s="5" t="s">
        <v>64</v>
      </c>
      <c r="E36" s="6" t="s">
        <v>81</v>
      </c>
      <c r="F36" s="7" t="n">
        <v>16</v>
      </c>
      <c r="G36" s="7" t="n">
        <v>8</v>
      </c>
      <c r="H36" s="8" t="n">
        <v>9000</v>
      </c>
      <c r="I36" s="9" t="n">
        <f aca="false">F36*H36</f>
        <v>144000</v>
      </c>
      <c r="J36" s="4" t="str">
        <f aca="false">IF(F36&lt;=0,"Habis",IF(F36&lt;=G36,"Perlu Restock","Aman"))</f>
        <v>Aman</v>
      </c>
    </row>
    <row r="37" customFormat="false" ht="15" hidden="false" customHeight="false" outlineLevel="0" collapsed="false">
      <c r="A37" s="4" t="n">
        <v>33</v>
      </c>
      <c r="B37" s="5" t="s">
        <v>84</v>
      </c>
      <c r="C37" s="5" t="s">
        <v>85</v>
      </c>
      <c r="D37" s="5" t="s">
        <v>64</v>
      </c>
      <c r="E37" s="6" t="s">
        <v>15</v>
      </c>
      <c r="F37" s="7" t="n">
        <v>20</v>
      </c>
      <c r="G37" s="7" t="n">
        <v>8</v>
      </c>
      <c r="H37" s="8" t="n">
        <v>8000</v>
      </c>
      <c r="I37" s="9" t="n">
        <f aca="false">F37*H37</f>
        <v>160000</v>
      </c>
      <c r="J37" s="4" t="str">
        <f aca="false">IF(F37&lt;=0,"Habis",IF(F37&lt;=G37,"Perlu Restock","Aman"))</f>
        <v>Aman</v>
      </c>
    </row>
    <row r="38" customFormat="false" ht="15" hidden="false" customHeight="false" outlineLevel="0" collapsed="false">
      <c r="A38" s="4" t="n">
        <v>34</v>
      </c>
      <c r="B38" s="5" t="s">
        <v>86</v>
      </c>
      <c r="C38" s="5" t="s">
        <v>87</v>
      </c>
      <c r="D38" s="5" t="s">
        <v>64</v>
      </c>
      <c r="E38" s="6" t="s">
        <v>51</v>
      </c>
      <c r="F38" s="7" t="n">
        <v>30</v>
      </c>
      <c r="G38" s="7" t="n">
        <v>10</v>
      </c>
      <c r="H38" s="8" t="n">
        <v>5500</v>
      </c>
      <c r="I38" s="9" t="n">
        <f aca="false">F38*H38</f>
        <v>165000</v>
      </c>
      <c r="J38" s="4" t="str">
        <f aca="false">IF(F38&lt;=0,"Habis",IF(F38&lt;=G38,"Perlu Restock","Aman"))</f>
        <v>Aman</v>
      </c>
    </row>
    <row r="39" customFormat="false" ht="15" hidden="false" customHeight="false" outlineLevel="0" collapsed="false">
      <c r="A39" s="4" t="n">
        <v>35</v>
      </c>
      <c r="B39" s="5" t="s">
        <v>88</v>
      </c>
      <c r="C39" s="5" t="s">
        <v>89</v>
      </c>
      <c r="D39" s="5" t="s">
        <v>90</v>
      </c>
      <c r="E39" s="6" t="s">
        <v>51</v>
      </c>
      <c r="F39" s="7" t="n">
        <v>24</v>
      </c>
      <c r="G39" s="7" t="n">
        <v>10</v>
      </c>
      <c r="H39" s="8" t="n">
        <v>12000</v>
      </c>
      <c r="I39" s="9" t="n">
        <f aca="false">F39*H39</f>
        <v>288000</v>
      </c>
      <c r="J39" s="4" t="str">
        <f aca="false">IF(F39&lt;=0,"Habis",IF(F39&lt;=G39,"Perlu Restock","Aman"))</f>
        <v>Aman</v>
      </c>
    </row>
    <row r="40" customFormat="false" ht="15" hidden="false" customHeight="false" outlineLevel="0" collapsed="false">
      <c r="A40" s="4" t="n">
        <v>36</v>
      </c>
      <c r="B40" s="5" t="s">
        <v>91</v>
      </c>
      <c r="C40" s="5" t="s">
        <v>92</v>
      </c>
      <c r="D40" s="5" t="s">
        <v>90</v>
      </c>
      <c r="E40" s="6" t="s">
        <v>51</v>
      </c>
      <c r="F40" s="7" t="n">
        <v>14</v>
      </c>
      <c r="G40" s="7" t="n">
        <v>6</v>
      </c>
      <c r="H40" s="8" t="n">
        <v>8000</v>
      </c>
      <c r="I40" s="9" t="n">
        <f aca="false">F40*H40</f>
        <v>112000</v>
      </c>
      <c r="J40" s="4" t="str">
        <f aca="false">IF(F40&lt;=0,"Habis",IF(F40&lt;=G40,"Perlu Restock","Aman"))</f>
        <v>Aman</v>
      </c>
    </row>
    <row r="41" customFormat="false" ht="15" hidden="false" customHeight="false" outlineLevel="0" collapsed="false">
      <c r="A41" s="4" t="n">
        <v>37</v>
      </c>
      <c r="B41" s="5" t="s">
        <v>93</v>
      </c>
      <c r="C41" s="5" t="s">
        <v>94</v>
      </c>
      <c r="D41" s="5" t="s">
        <v>90</v>
      </c>
      <c r="E41" s="6" t="s">
        <v>15</v>
      </c>
      <c r="F41" s="7" t="n">
        <v>85</v>
      </c>
      <c r="G41" s="7" t="n">
        <v>30</v>
      </c>
      <c r="H41" s="8" t="n">
        <v>4000</v>
      </c>
      <c r="I41" s="9" t="n">
        <f aca="false">F41*H41</f>
        <v>340000</v>
      </c>
      <c r="J41" s="4" t="str">
        <f aca="false">IF(F41&lt;=0,"Habis",IF(F41&lt;=G41,"Perlu Restock","Aman"))</f>
        <v>Aman</v>
      </c>
    </row>
    <row r="42" customFormat="false" ht="15" hidden="false" customHeight="false" outlineLevel="0" collapsed="false">
      <c r="A42" s="4" t="n">
        <v>38</v>
      </c>
      <c r="B42" s="5" t="s">
        <v>95</v>
      </c>
      <c r="C42" s="5" t="s">
        <v>96</v>
      </c>
      <c r="D42" s="5" t="s">
        <v>90</v>
      </c>
      <c r="E42" s="6" t="s">
        <v>15</v>
      </c>
      <c r="F42" s="7" t="n">
        <v>60</v>
      </c>
      <c r="G42" s="7" t="n">
        <v>25</v>
      </c>
      <c r="H42" s="8" t="n">
        <v>3500</v>
      </c>
      <c r="I42" s="9" t="n">
        <f aca="false">F42*H42</f>
        <v>210000</v>
      </c>
      <c r="J42" s="4" t="str">
        <f aca="false">IF(F42&lt;=0,"Habis",IF(F42&lt;=G42,"Perlu Restock","Aman"))</f>
        <v>Aman</v>
      </c>
    </row>
    <row r="43" customFormat="false" ht="15" hidden="false" customHeight="false" outlineLevel="0" collapsed="false">
      <c r="A43" s="4" t="n">
        <v>39</v>
      </c>
      <c r="B43" s="5" t="s">
        <v>97</v>
      </c>
      <c r="C43" s="5" t="s">
        <v>98</v>
      </c>
      <c r="D43" s="5" t="s">
        <v>90</v>
      </c>
      <c r="E43" s="6" t="s">
        <v>15</v>
      </c>
      <c r="F43" s="7" t="n">
        <v>35</v>
      </c>
      <c r="G43" s="7" t="n">
        <v>15</v>
      </c>
      <c r="H43" s="8" t="n">
        <v>32000</v>
      </c>
      <c r="I43" s="9" t="n">
        <f aca="false">F43*H43</f>
        <v>1120000</v>
      </c>
      <c r="J43" s="4" t="str">
        <f aca="false">IF(F43&lt;=0,"Habis",IF(F43&lt;=G43,"Perlu Restock","Aman"))</f>
        <v>Aman</v>
      </c>
    </row>
    <row r="44" customFormat="false" ht="15" hidden="false" customHeight="false" outlineLevel="0" collapsed="false">
      <c r="A44" s="4" t="n">
        <v>40</v>
      </c>
      <c r="B44" s="5" t="s">
        <v>99</v>
      </c>
      <c r="C44" s="5" t="s">
        <v>100</v>
      </c>
      <c r="D44" s="5" t="s">
        <v>90</v>
      </c>
      <c r="E44" s="6" t="s">
        <v>15</v>
      </c>
      <c r="F44" s="7" t="n">
        <v>18</v>
      </c>
      <c r="G44" s="7" t="n">
        <v>8</v>
      </c>
      <c r="H44" s="8" t="n">
        <v>24000</v>
      </c>
      <c r="I44" s="9" t="n">
        <f aca="false">F44*H44</f>
        <v>432000</v>
      </c>
      <c r="J44" s="4" t="str">
        <f aca="false">IF(F44&lt;=0,"Habis",IF(F44&lt;=G44,"Perlu Restock","Aman"))</f>
        <v>Aman</v>
      </c>
    </row>
    <row r="45" customFormat="false" ht="15" hidden="false" customHeight="false" outlineLevel="0" collapsed="false">
      <c r="A45" s="4" t="n">
        <v>41</v>
      </c>
      <c r="B45" s="5" t="s">
        <v>101</v>
      </c>
      <c r="C45" s="5" t="s">
        <v>102</v>
      </c>
      <c r="D45" s="5" t="s">
        <v>90</v>
      </c>
      <c r="E45" s="6" t="s">
        <v>15</v>
      </c>
      <c r="F45" s="7" t="n">
        <v>12</v>
      </c>
      <c r="G45" s="7" t="n">
        <v>6</v>
      </c>
      <c r="H45" s="8" t="n">
        <v>28000</v>
      </c>
      <c r="I45" s="9" t="n">
        <f aca="false">F45*H45</f>
        <v>336000</v>
      </c>
      <c r="J45" s="4" t="str">
        <f aca="false">IF(F45&lt;=0,"Habis",IF(F45&lt;=G45,"Perlu Restock","Aman"))</f>
        <v>Aman</v>
      </c>
    </row>
    <row r="46" customFormat="false" ht="15" hidden="false" customHeight="false" outlineLevel="0" collapsed="false">
      <c r="A46" s="4" t="n">
        <v>42</v>
      </c>
      <c r="B46" s="5" t="s">
        <v>103</v>
      </c>
      <c r="C46" s="5" t="s">
        <v>104</v>
      </c>
      <c r="D46" s="5" t="s">
        <v>90</v>
      </c>
      <c r="E46" s="6" t="s">
        <v>26</v>
      </c>
      <c r="F46" s="7" t="n">
        <v>3</v>
      </c>
      <c r="G46" s="7" t="n">
        <v>4</v>
      </c>
      <c r="H46" s="8" t="n">
        <v>55000</v>
      </c>
      <c r="I46" s="9" t="n">
        <f aca="false">F46*H46</f>
        <v>165000</v>
      </c>
      <c r="J46" s="4" t="str">
        <f aca="false">IF(F46&lt;=0,"Habis",IF(F46&lt;=G46,"Perlu Restock","Aman"))</f>
        <v>Perlu Restock</v>
      </c>
    </row>
    <row r="47" customFormat="false" ht="15" hidden="false" customHeight="false" outlineLevel="0" collapsed="false">
      <c r="A47" s="4" t="n">
        <v>43</v>
      </c>
      <c r="B47" s="5" t="s">
        <v>105</v>
      </c>
      <c r="C47" s="5" t="s">
        <v>106</v>
      </c>
      <c r="D47" s="5" t="s">
        <v>90</v>
      </c>
      <c r="E47" s="6" t="s">
        <v>26</v>
      </c>
      <c r="F47" s="7" t="n">
        <v>15</v>
      </c>
      <c r="G47" s="7" t="n">
        <v>6</v>
      </c>
      <c r="H47" s="8" t="n">
        <v>18000</v>
      </c>
      <c r="I47" s="9" t="n">
        <f aca="false">F47*H47</f>
        <v>270000</v>
      </c>
      <c r="J47" s="4" t="str">
        <f aca="false">IF(F47&lt;=0,"Habis",IF(F47&lt;=G47,"Perlu Restock","Aman"))</f>
        <v>Aman</v>
      </c>
    </row>
    <row r="48" customFormat="false" ht="15" hidden="false" customHeight="false" outlineLevel="0" collapsed="false">
      <c r="A48" s="4" t="n">
        <v>44</v>
      </c>
      <c r="B48" s="5" t="s">
        <v>107</v>
      </c>
      <c r="C48" s="5" t="s">
        <v>108</v>
      </c>
      <c r="D48" s="5" t="s">
        <v>109</v>
      </c>
      <c r="E48" s="6" t="s">
        <v>110</v>
      </c>
      <c r="F48" s="7" t="n">
        <v>14</v>
      </c>
      <c r="G48" s="7" t="n">
        <v>6</v>
      </c>
      <c r="H48" s="8" t="n">
        <v>92000</v>
      </c>
      <c r="I48" s="9" t="n">
        <f aca="false">F48*H48</f>
        <v>1288000</v>
      </c>
      <c r="J48" s="4" t="str">
        <f aca="false">IF(F48&lt;=0,"Habis",IF(F48&lt;=G48,"Perlu Restock","Aman"))</f>
        <v>Aman</v>
      </c>
    </row>
    <row r="49" customFormat="false" ht="15" hidden="false" customHeight="false" outlineLevel="0" collapsed="false">
      <c r="A49" s="4" t="n">
        <v>45</v>
      </c>
      <c r="B49" s="5" t="s">
        <v>111</v>
      </c>
      <c r="C49" s="5" t="s">
        <v>112</v>
      </c>
      <c r="D49" s="5" t="s">
        <v>109</v>
      </c>
      <c r="E49" s="6" t="s">
        <v>113</v>
      </c>
      <c r="F49" s="7" t="n">
        <v>5</v>
      </c>
      <c r="G49" s="7" t="n">
        <v>6</v>
      </c>
      <c r="H49" s="8" t="n">
        <v>270000</v>
      </c>
      <c r="I49" s="9" t="n">
        <f aca="false">F49*H49</f>
        <v>1350000</v>
      </c>
      <c r="J49" s="4" t="str">
        <f aca="false">IF(F49&lt;=0,"Habis",IF(F49&lt;=G49,"Perlu Restock","Aman"))</f>
        <v>Perlu Restock</v>
      </c>
    </row>
    <row r="50" customFormat="false" ht="15" hidden="false" customHeight="false" outlineLevel="0" collapsed="false">
      <c r="A50" s="4" t="n">
        <v>46</v>
      </c>
      <c r="B50" s="5" t="s">
        <v>114</v>
      </c>
      <c r="C50" s="5" t="s">
        <v>115</v>
      </c>
      <c r="D50" s="5" t="s">
        <v>109</v>
      </c>
      <c r="E50" s="6" t="s">
        <v>15</v>
      </c>
      <c r="F50" s="7" t="n">
        <v>2</v>
      </c>
      <c r="G50" s="7" t="n">
        <v>2</v>
      </c>
      <c r="H50" s="8" t="n">
        <v>650000</v>
      </c>
      <c r="I50" s="9" t="n">
        <f aca="false">F50*H50</f>
        <v>1300000</v>
      </c>
      <c r="J50" s="4" t="str">
        <f aca="false">IF(F50&lt;=0,"Habis",IF(F50&lt;=G50,"Perlu Restock","Aman"))</f>
        <v>Perlu Restock</v>
      </c>
    </row>
    <row r="51" customFormat="false" ht="15" hidden="false" customHeight="false" outlineLevel="0" collapsed="false">
      <c r="A51" s="4" t="n">
        <v>47</v>
      </c>
      <c r="B51" s="5" t="s">
        <v>116</v>
      </c>
      <c r="C51" s="5" t="s">
        <v>117</v>
      </c>
      <c r="D51" s="5" t="s">
        <v>109</v>
      </c>
      <c r="E51" s="6" t="s">
        <v>15</v>
      </c>
      <c r="F51" s="7" t="n">
        <v>6</v>
      </c>
      <c r="G51" s="7" t="n">
        <v>3</v>
      </c>
      <c r="H51" s="8" t="n">
        <v>45000</v>
      </c>
      <c r="I51" s="9" t="n">
        <f aca="false">F51*H51</f>
        <v>270000</v>
      </c>
      <c r="J51" s="4" t="str">
        <f aca="false">IF(F51&lt;=0,"Habis",IF(F51&lt;=G51,"Perlu Restock","Aman"))</f>
        <v>Aman</v>
      </c>
    </row>
    <row r="52" customFormat="false" ht="15" hidden="false" customHeight="false" outlineLevel="0" collapsed="false">
      <c r="A52" s="4" t="n">
        <v>48</v>
      </c>
      <c r="B52" s="5" t="s">
        <v>118</v>
      </c>
      <c r="C52" s="5" t="s">
        <v>119</v>
      </c>
      <c r="D52" s="5" t="s">
        <v>109</v>
      </c>
      <c r="E52" s="6" t="s">
        <v>81</v>
      </c>
      <c r="F52" s="7" t="n">
        <v>35</v>
      </c>
      <c r="G52" s="7" t="n">
        <v>15</v>
      </c>
      <c r="H52" s="8" t="n">
        <v>6500</v>
      </c>
      <c r="I52" s="9" t="n">
        <f aca="false">F52*H52</f>
        <v>227500</v>
      </c>
      <c r="J52" s="4" t="str">
        <f aca="false">IF(F52&lt;=0,"Habis",IF(F52&lt;=G52,"Perlu Restock","Aman"))</f>
        <v>Aman</v>
      </c>
    </row>
    <row r="53" customFormat="false" ht="15" hidden="false" customHeight="false" outlineLevel="0" collapsed="false">
      <c r="A53" s="4" t="n">
        <v>49</v>
      </c>
      <c r="B53" s="5" t="s">
        <v>120</v>
      </c>
      <c r="C53" s="5" t="s">
        <v>121</v>
      </c>
      <c r="D53" s="5" t="s">
        <v>122</v>
      </c>
      <c r="E53" s="6" t="s">
        <v>26</v>
      </c>
      <c r="F53" s="7" t="n">
        <v>16</v>
      </c>
      <c r="G53" s="7" t="n">
        <v>8</v>
      </c>
      <c r="H53" s="8" t="n">
        <v>28000</v>
      </c>
      <c r="I53" s="9" t="n">
        <f aca="false">F53*H53</f>
        <v>448000</v>
      </c>
      <c r="J53" s="4" t="str">
        <f aca="false">IF(F53&lt;=0,"Habis",IF(F53&lt;=G53,"Perlu Restock","Aman"))</f>
        <v>Aman</v>
      </c>
    </row>
    <row r="54" customFormat="false" ht="15" hidden="false" customHeight="false" outlineLevel="0" collapsed="false">
      <c r="A54" s="4" t="n">
        <v>50</v>
      </c>
      <c r="B54" s="5" t="s">
        <v>123</v>
      </c>
      <c r="C54" s="5" t="s">
        <v>124</v>
      </c>
      <c r="D54" s="5" t="s">
        <v>122</v>
      </c>
      <c r="E54" s="6" t="s">
        <v>15</v>
      </c>
      <c r="F54" s="7" t="n">
        <v>2</v>
      </c>
      <c r="G54" s="7" t="n">
        <v>3</v>
      </c>
      <c r="H54" s="8" t="n">
        <v>95000</v>
      </c>
      <c r="I54" s="9" t="n">
        <f aca="false">F54*H54</f>
        <v>190000</v>
      </c>
      <c r="J54" s="4" t="str">
        <f aca="false">IF(F54&lt;=0,"Habis",IF(F54&lt;=G54,"Perlu Restock","Aman"))</f>
        <v>Perlu Restock</v>
      </c>
    </row>
    <row r="55" customFormat="false" ht="15" hidden="false" customHeight="false" outlineLevel="0" collapsed="false">
      <c r="A55" s="10"/>
      <c r="B55" s="10"/>
      <c r="C55" s="10" t="s">
        <v>125</v>
      </c>
      <c r="D55" s="10"/>
      <c r="E55" s="10"/>
      <c r="F55" s="11" t="n">
        <f aca="false">SUM(F5:F54)</f>
        <v>1374</v>
      </c>
      <c r="G55" s="10"/>
      <c r="H55" s="10"/>
      <c r="I55" s="12" t="n">
        <f aca="false">SUM(I5:I54)</f>
        <v>25157000</v>
      </c>
      <c r="J55" s="13" t="str">
        <f aca="false">COUNTIF(J5:J54,"Perlu Restock")+COUNTIF(J5:J54,"Habis")&amp;" perlu dibeli"</f>
        <v>6 perlu dibeli</v>
      </c>
    </row>
  </sheetData>
  <autoFilter ref="A4:J54"/>
  <mergeCells count="2">
    <mergeCell ref="A1:J1"/>
    <mergeCell ref="A2:J2"/>
  </mergeCells>
  <conditionalFormatting sqref="A5:J54">
    <cfRule type="expression" priority="2" aboveAverage="0" equalAverage="0" bottom="0" percent="0" rank="0" text="" dxfId="5">
      <formula>$J5="Habis"</formula>
    </cfRule>
    <cfRule type="expression" priority="3" aboveAverage="0" equalAverage="0" bottom="0" percent="0" rank="0" text="" dxfId="6">
      <formula>$J5="Perlu Restock"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4" t="s">
        <v>126</v>
      </c>
    </row>
    <row r="2" customFormat="false" ht="15" hidden="false" customHeight="false" outlineLevel="0" collapsed="false">
      <c r="A2" s="15" t="s">
        <v>127</v>
      </c>
    </row>
    <row r="4" customFormat="false" ht="31.5" hidden="false" customHeight="true" outlineLevel="0" collapsed="false">
      <c r="A4" s="3" t="s">
        <v>5</v>
      </c>
      <c r="B4" s="3" t="s">
        <v>128</v>
      </c>
      <c r="C4" s="3" t="s">
        <v>129</v>
      </c>
      <c r="D4" s="3" t="s">
        <v>130</v>
      </c>
      <c r="E4" s="3" t="s">
        <v>131</v>
      </c>
    </row>
    <row r="5" customFormat="false" ht="15" hidden="false" customHeight="false" outlineLevel="0" collapsed="false">
      <c r="A5" s="16" t="s">
        <v>14</v>
      </c>
      <c r="B5" s="17" t="n">
        <f aca="false">COUNTIF('Data Barang ATK'!$D$5:$D$54,$A5)</f>
        <v>12</v>
      </c>
      <c r="C5" s="17" t="n">
        <f aca="false">SUMIF('Data Barang ATK'!$D$5:$D$54,$A5,'Data Barang ATK'!$F$5:$F$54)</f>
        <v>572</v>
      </c>
      <c r="D5" s="18" t="n">
        <f aca="false">SUMIF('Data Barang ATK'!$D$5:$D$54,$A5,'Data Barang ATK'!$I$5:$I$54)</f>
        <v>3649500</v>
      </c>
      <c r="E5" s="17" t="n">
        <f aca="false">COUNTIFS('Data Barang ATK'!$D$5:$D$54,$A5,'Data Barang ATK'!$J$5:$J$54,"Perlu Restock")+COUNTIFS('Data Barang ATK'!$D$5:$D$54,$A5,'Data Barang ATK'!$J$5:$J$54,"Habis")</f>
        <v>0</v>
      </c>
    </row>
    <row r="6" customFormat="false" ht="15" hidden="false" customHeight="false" outlineLevel="0" collapsed="false">
      <c r="A6" s="16" t="s">
        <v>41</v>
      </c>
      <c r="B6" s="17" t="n">
        <f aca="false">COUNTIF('Data Barang ATK'!$D$5:$D$54,$A6)</f>
        <v>10</v>
      </c>
      <c r="C6" s="17" t="n">
        <f aca="false">SUMIF('Data Barang ATK'!$D$5:$D$54,$A6,'Data Barang ATK'!$F$5:$F$54)</f>
        <v>249</v>
      </c>
      <c r="D6" s="18" t="n">
        <f aca="false">SUMIF('Data Barang ATK'!$D$5:$D$54,$A6,'Data Barang ATK'!$I$5:$I$54)</f>
        <v>10406000</v>
      </c>
      <c r="E6" s="17" t="n">
        <f aca="false">COUNTIFS('Data Barang ATK'!$D$5:$D$54,$A6,'Data Barang ATK'!$J$5:$J$54,"Perlu Restock")+COUNTIFS('Data Barang ATK'!$D$5:$D$54,$A6,'Data Barang ATK'!$J$5:$J$54,"Habis")</f>
        <v>1</v>
      </c>
    </row>
    <row r="7" customFormat="false" ht="15" hidden="false" customHeight="false" outlineLevel="0" collapsed="false">
      <c r="A7" s="16" t="s">
        <v>64</v>
      </c>
      <c r="B7" s="17" t="n">
        <f aca="false">COUNTIF('Data Barang ATK'!$D$5:$D$54,$A7)</f>
        <v>12</v>
      </c>
      <c r="C7" s="17" t="n">
        <f aca="false">SUMIF('Data Barang ATK'!$D$5:$D$54,$A7,'Data Barang ATK'!$F$5:$F$54)</f>
        <v>207</v>
      </c>
      <c r="D7" s="18" t="n">
        <f aca="false">SUMIF('Data Barang ATK'!$D$5:$D$54,$A7,'Data Barang ATK'!$I$5:$I$54)</f>
        <v>2755000</v>
      </c>
      <c r="E7" s="17" t="n">
        <f aca="false">COUNTIFS('Data Barang ATK'!$D$5:$D$54,$A7,'Data Barang ATK'!$J$5:$J$54,"Perlu Restock")+COUNTIFS('Data Barang ATK'!$D$5:$D$54,$A7,'Data Barang ATK'!$J$5:$J$54,"Habis")</f>
        <v>1</v>
      </c>
    </row>
    <row r="8" customFormat="false" ht="15" hidden="false" customHeight="false" outlineLevel="0" collapsed="false">
      <c r="A8" s="16" t="s">
        <v>90</v>
      </c>
      <c r="B8" s="17" t="n">
        <f aca="false">COUNTIF('Data Barang ATK'!$D$5:$D$54,$A8)</f>
        <v>9</v>
      </c>
      <c r="C8" s="17" t="n">
        <f aca="false">SUMIF('Data Barang ATK'!$D$5:$D$54,$A8,'Data Barang ATK'!$F$5:$F$54)</f>
        <v>266</v>
      </c>
      <c r="D8" s="18" t="n">
        <f aca="false">SUMIF('Data Barang ATK'!$D$5:$D$54,$A8,'Data Barang ATK'!$I$5:$I$54)</f>
        <v>3273000</v>
      </c>
      <c r="E8" s="17" t="n">
        <f aca="false">COUNTIFS('Data Barang ATK'!$D$5:$D$54,$A8,'Data Barang ATK'!$J$5:$J$54,"Perlu Restock")+COUNTIFS('Data Barang ATK'!$D$5:$D$54,$A8,'Data Barang ATK'!$J$5:$J$54,"Habis")</f>
        <v>1</v>
      </c>
    </row>
    <row r="9" customFormat="false" ht="15" hidden="false" customHeight="false" outlineLevel="0" collapsed="false">
      <c r="A9" s="16" t="s">
        <v>109</v>
      </c>
      <c r="B9" s="17" t="n">
        <f aca="false">COUNTIF('Data Barang ATK'!$D$5:$D$54,$A9)</f>
        <v>5</v>
      </c>
      <c r="C9" s="17" t="n">
        <f aca="false">SUMIF('Data Barang ATK'!$D$5:$D$54,$A9,'Data Barang ATK'!$F$5:$F$54)</f>
        <v>62</v>
      </c>
      <c r="D9" s="18" t="n">
        <f aca="false">SUMIF('Data Barang ATK'!$D$5:$D$54,$A9,'Data Barang ATK'!$I$5:$I$54)</f>
        <v>4435500</v>
      </c>
      <c r="E9" s="17" t="n">
        <f aca="false">COUNTIFS('Data Barang ATK'!$D$5:$D$54,$A9,'Data Barang ATK'!$J$5:$J$54,"Perlu Restock")+COUNTIFS('Data Barang ATK'!$D$5:$D$54,$A9,'Data Barang ATK'!$J$5:$J$54,"Habis")</f>
        <v>2</v>
      </c>
    </row>
    <row r="10" customFormat="false" ht="15" hidden="false" customHeight="false" outlineLevel="0" collapsed="false">
      <c r="A10" s="16" t="s">
        <v>122</v>
      </c>
      <c r="B10" s="17" t="n">
        <f aca="false">COUNTIF('Data Barang ATK'!$D$5:$D$54,$A10)</f>
        <v>2</v>
      </c>
      <c r="C10" s="17" t="n">
        <f aca="false">SUMIF('Data Barang ATK'!$D$5:$D$54,$A10,'Data Barang ATK'!$F$5:$F$54)</f>
        <v>18</v>
      </c>
      <c r="D10" s="18" t="n">
        <f aca="false">SUMIF('Data Barang ATK'!$D$5:$D$54,$A10,'Data Barang ATK'!$I$5:$I$54)</f>
        <v>638000</v>
      </c>
      <c r="E10" s="17" t="n">
        <f aca="false">COUNTIFS('Data Barang ATK'!$D$5:$D$54,$A10,'Data Barang ATK'!$J$5:$J$54,"Perlu Restock")+COUNTIFS('Data Barang ATK'!$D$5:$D$54,$A10,'Data Barang ATK'!$J$5:$J$54,"Habis")</f>
        <v>1</v>
      </c>
    </row>
    <row r="11" customFormat="false" ht="15" hidden="false" customHeight="false" outlineLevel="0" collapsed="false">
      <c r="A11" s="10" t="s">
        <v>125</v>
      </c>
      <c r="B11" s="11" t="n">
        <f aca="false">SUM(B5:B10)</f>
        <v>50</v>
      </c>
      <c r="C11" s="11" t="n">
        <f aca="false">SUM(C5:C10)</f>
        <v>1374</v>
      </c>
      <c r="D11" s="12" t="n">
        <f aca="false">SUM(D5:D10)</f>
        <v>25157000</v>
      </c>
      <c r="E11" s="11" t="n">
        <f aca="false">SUM(E5:E10)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2"/>
  </cols>
  <sheetData>
    <row r="1" customFormat="false" ht="17.35" hidden="false" customHeight="false" outlineLevel="0" collapsed="false">
      <c r="A1" s="14" t="s">
        <v>132</v>
      </c>
    </row>
    <row r="2" customFormat="false" ht="15" hidden="false" customHeight="false" outlineLevel="0" collapsed="false">
      <c r="A2" s="19"/>
      <c r="B2" s="20"/>
    </row>
    <row r="3" customFormat="false" ht="15" hidden="false" customHeight="false" outlineLevel="0" collapsed="false">
      <c r="A3" s="21" t="s">
        <v>133</v>
      </c>
      <c r="B3" s="20"/>
    </row>
    <row r="4" customFormat="false" ht="15" hidden="false" customHeight="false" outlineLevel="0" collapsed="false">
      <c r="A4" s="19" t="s">
        <v>134</v>
      </c>
      <c r="B4" s="20" t="s">
        <v>135</v>
      </c>
    </row>
    <row r="5" customFormat="false" ht="15" hidden="false" customHeight="false" outlineLevel="0" collapsed="false">
      <c r="A5" s="19" t="s">
        <v>136</v>
      </c>
      <c r="B5" s="20" t="s">
        <v>137</v>
      </c>
    </row>
    <row r="6" customFormat="false" ht="15" hidden="false" customHeight="false" outlineLevel="0" collapsed="false">
      <c r="A6" s="19"/>
      <c r="B6" s="20"/>
    </row>
    <row r="7" customFormat="false" ht="15" hidden="false" customHeight="false" outlineLevel="0" collapsed="false">
      <c r="A7" s="21" t="s">
        <v>138</v>
      </c>
      <c r="B7" s="20" t="s">
        <v>139</v>
      </c>
    </row>
    <row r="8" customFormat="false" ht="15" hidden="false" customHeight="false" outlineLevel="0" collapsed="false">
      <c r="A8" s="19"/>
      <c r="B8" s="20" t="s">
        <v>140</v>
      </c>
    </row>
    <row r="9" customFormat="false" ht="15" hidden="false" customHeight="false" outlineLevel="0" collapsed="false">
      <c r="A9" s="19"/>
      <c r="B9" s="20"/>
    </row>
    <row r="10" customFormat="false" ht="15" hidden="false" customHeight="false" outlineLevel="0" collapsed="false">
      <c r="A10" s="21" t="s">
        <v>141</v>
      </c>
      <c r="B10" s="20" t="s">
        <v>142</v>
      </c>
    </row>
    <row r="11" customFormat="false" ht="15" hidden="false" customHeight="false" outlineLevel="0" collapsed="false">
      <c r="A11" s="19" t="s">
        <v>10</v>
      </c>
      <c r="B11" s="20" t="s">
        <v>143</v>
      </c>
    </row>
    <row r="12" customFormat="false" ht="15" hidden="false" customHeight="false" outlineLevel="0" collapsed="false">
      <c r="A12" s="19" t="s">
        <v>11</v>
      </c>
      <c r="B12" s="20" t="s">
        <v>144</v>
      </c>
    </row>
    <row r="13" customFormat="false" ht="15" hidden="false" customHeight="false" outlineLevel="0" collapsed="false">
      <c r="A13" s="19"/>
      <c r="B13" s="20"/>
    </row>
    <row r="14" customFormat="false" ht="15" hidden="false" customHeight="false" outlineLevel="0" collapsed="false">
      <c r="A14" s="21" t="s">
        <v>145</v>
      </c>
      <c r="B14" s="20"/>
    </row>
    <row r="15" customFormat="false" ht="15" hidden="false" customHeight="false" outlineLevel="0" collapsed="false">
      <c r="A15" s="22" t="s">
        <v>146</v>
      </c>
      <c r="B15" s="20" t="s">
        <v>147</v>
      </c>
    </row>
    <row r="16" customFormat="false" ht="15" hidden="false" customHeight="false" outlineLevel="0" collapsed="false">
      <c r="A16" s="23" t="s">
        <v>148</v>
      </c>
      <c r="B16" s="20" t="s">
        <v>149</v>
      </c>
    </row>
    <row r="17" customFormat="false" ht="15" hidden="false" customHeight="false" outlineLevel="0" collapsed="false">
      <c r="A17" s="19"/>
      <c r="B17" s="20"/>
    </row>
    <row r="18" customFormat="false" ht="15" hidden="false" customHeight="false" outlineLevel="0" collapsed="false">
      <c r="A18" s="19" t="s">
        <v>150</v>
      </c>
      <c r="B18" s="20" t="s">
        <v>151</v>
      </c>
    </row>
    <row r="19" customFormat="false" ht="15" hidden="false" customHeight="false" outlineLevel="0" collapsed="false">
      <c r="A19" s="19"/>
      <c r="B19" s="20"/>
    </row>
    <row r="20" customFormat="false" ht="15" hidden="false" customHeight="false" outlineLevel="0" collapsed="false">
      <c r="A20" s="24" t="s">
        <v>152</v>
      </c>
      <c r="B20" s="20"/>
    </row>
    <row r="21" customFormat="false" ht="15" hidden="false" customHeight="false" outlineLevel="0" collapsed="false">
      <c r="A21" s="25" t="s">
        <v>153</v>
      </c>
      <c r="B21" s="20" t="s">
        <v>154</v>
      </c>
    </row>
    <row r="22" customFormat="false" ht="23.85" hidden="false" customHeight="false" outlineLevel="0" collapsed="false">
      <c r="A22" s="25" t="s">
        <v>155</v>
      </c>
      <c r="B22" s="20" t="s">
        <v>156</v>
      </c>
    </row>
    <row r="23" customFormat="false" ht="23.85" hidden="false" customHeight="false" outlineLevel="0" collapsed="false">
      <c r="A23" s="25" t="s">
        <v>157</v>
      </c>
      <c r="B23" s="2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2026-09-23T12:14:39Z</dcterms:created>
  <dc:creator>openpyxl</dc:creator>
  <dc:description/>
  <dc:language>en-US</dc:language>
  <cp:lastModifiedBy/>
  <dcterms:modified xsi:type="dcterms:W3CDTF">2026-09-23T12:14:39Z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